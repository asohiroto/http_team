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iranoShinya\Desktop\http_team\"/>
    </mc:Choice>
  </mc:AlternateContent>
  <xr:revisionPtr revIDLastSave="0" documentId="13_ncr:1_{F1AD607F-7F3C-471D-9F71-04ED47FEDBD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<sst xmlns="http://schemas.openxmlformats.org/spreadsheetml/2006/main" count="255" uniqueCount="120">
  <si>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</si>
  <si>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</si>
  <si>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</si>
  <si>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</si>
  <si>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</si>
  <si>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</si>
  <si>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</si>
  <si>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</si>
  <si>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</si>
  <si>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</si>
  <si>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</si>
  <si>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</si>
  <si>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</si>
  <si>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</si>
  <si>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</si>
  <si>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</si>
  <si>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</si>
  <si>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</si>
  <si>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</si>
  <si>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</si>
  <si>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</si>
  <si>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</si>
  <si>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</si>
  <si>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</si>
  <si>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</si>
  <si>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</si>
  <si>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</si>
  <si>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</si>
  <si>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</si>
  <si>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</si>
  <si>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</si>
  <si>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</si>
  <si>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</si>
  <si>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</si>
  <si>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</si>
  <si>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</si>
  <si>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</si>
  <si>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</si>
  <si>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</si>
  <si>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</si>
  <si>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</si>
  <si>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</si>
  <si>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</si>
  <si>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</si>
  <si>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</si>
  <si>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</si>
  <si>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</si>
  <si>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</si>
  <si>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</si>
  <si>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</si>
  <si>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</si>
  <si>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</si>
  <si>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</si>
  <si>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</si>
  <si>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</si>
  <si>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</si>
  <si>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</si>
  <si>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</si>
  <si>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</si>
  <si>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</si>
  <si>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</si>
  <si>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</si>
  <si>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</si>
  <si>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</si>
  <si>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</si>
  <si>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</si>
  <si>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</si>
  <si>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</si>
  <si>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</si>
  <si>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</si>
  <si>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</si>
  <si>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</si>
  <si>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</si>
  <si>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</si>
  <si>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</si>
  <si>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</si>
  <si>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</si>
  <si>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</si>
  <si>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</si>
  <si>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</si>
  <si>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</si>
  <si>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</si>
  <si>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</si>
  <si>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</si>
  <si>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</si>
  <si>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</si>
  <si>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</si>
  <si>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</si>
  <si>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</si>
  <si>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</si>
  <si>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</si>
  <si>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</si>
  <si>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</si>
  <si>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</si>
  <si>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</si>
  <si>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</si>
  <si>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</si>
  <si>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</si>
  <si>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</si>
  <si>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</si>
  <si>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</si>
  <si>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</si>
  <si>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</si>
  <si>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</si>
  <si>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</si>
  <si>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</si>
  <si>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</si>
  <si>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</si>
  <si>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</si>
  <si>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</si>
  <si>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</si>
  <si>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</si>
  <si>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</si>
  <si>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</si>
  <si>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</si>
  <si>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</si>
  <si>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</si>
  <si>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</si>
  <si>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</si>
  <si>
    <t>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</si>
</sst>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40" zoomScaleNormal="100" workbookViewId="0">
      <selection activeCell="H52" sqref="H52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139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49</v>
      </c>
      <c r="K5" t="s">
        <v>11</v>
      </c>
      <c r="L5" s="3">
        <f ca="1" xml:space="preserve"> J4 / J5</f>
        <v>2.8367346938775508</v>
      </c>
      <c r="M5" s="2">
        <f ca="1">_xlfn.DAYS(J7,J6)</f>
        <v>68</v>
      </c>
      <c r="N5" s="3">
        <f ca="1">J4/M5</f>
        <v>2.0441176470588234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46217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10</v>
      </c>
      <c r="L14" s="3">
        <f ca="1">($J$3 - $J$4) / K14</f>
        <v>-9.125</v>
      </c>
      <c r="M14">
        <f ca="1">_xlfn.DAYS(J14,$J$7)</f>
        <v>13</v>
      </c>
      <c r="N14" s="3">
        <f ca="1">($J$3 - $J$4) / M14</f>
        <v>-7.0192307692307692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14</v>
      </c>
      <c r="L15" s="3">
        <f ca="1">($J$3 - $J$4) / K15</f>
        <v>-6.5178571428571432</v>
      </c>
      <c r="M15">
        <f ca="1">_xlfn.DAYS(J15,$J$7)</f>
        <v>17</v>
      </c>
      <c r="N15" s="3">
        <f ca="1">($J$3 - $J$4) / M15</f>
        <v>-5.367647058823529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14</v>
      </c>
      <c r="L16" s="3">
        <f ca="1">($J$3 - $J$4) / K16</f>
        <v>-6.5178571428571432</v>
      </c>
      <c r="M16">
        <f ca="1">_xlfn.DAYS(J16,$J$7)</f>
        <v>17</v>
      </c>
      <c r="N16" s="3">
        <f ca="1">($J$3 - $J$4) / M16</f>
        <v>-5.367647058823529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9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9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9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119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119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9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9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9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9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9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9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9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つむお 平野</cp:lastModifiedBy>
  <cp:revision/>
  <dcterms:created xsi:type="dcterms:W3CDTF">2015-06-05T18:19:34Z</dcterms:created>
  <dcterms:modified xsi:type="dcterms:W3CDTF">2026-07-14T07:56:53Z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