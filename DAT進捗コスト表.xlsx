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ranoShinya\Downloads\"/>
    </mc:Choice>
  </mc:AlternateContent>
  <xr:revisionPtr revIDLastSave="0" documentId="13_ncr:1_{B74F956A-143F-4D7D-B51C-8545C7D8D6D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アルファ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4" i="1"/>
  <c r="J7" i="1"/>
  <c r="J6" i="1"/>
  <c r="J2" i="1"/>
  <c r="K16" i="1"/>
  <c r="K14" i="1"/>
  <c r="K15" i="1" l="1"/>
  <c r="J3" i="1"/>
  <c r="M14" i="1"/>
  <c r="M15" i="1"/>
  <c r="M16" i="1"/>
  <c r="M5" i="1"/>
  <c r="J5" i="1"/>
  <c r="J4" i="1" l="1"/>
  <c r="L14" i="1" l="1"/>
  <c r="N5" i="1"/>
  <c r="L5" i="1"/>
  <c r="N16" i="1"/>
  <c r="N14" i="1"/>
  <c r="L15" i="1"/>
  <c r="L16" i="1"/>
  <c r="N15" i="1"/>
</calcChain>
</file>

<file path=xl/sharedStrings.xml><?xml version="1.0" encoding="utf-8"?>
<sst xmlns="http://schemas.openxmlformats.org/spreadsheetml/2006/main" count="255" uniqueCount="119">
  <si>
    <t>1コスト:3時間 (1日は基本2コスト)</t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</si>
  <si>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</si>
  <si>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</si>
  <si>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</si>
  <si>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</si>
  <si>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未完</t>
    <rPh sb="0" eb="2">
      <t>ミカン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</si>
  <si>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</si>
  <si>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</si>
  <si>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</si>
  <si>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完了</t>
    <rPh sb="0" eb="2">
      <t>カンリョウ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</si>
  <si>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</si>
  <si>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</si>
  <si>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開始日</t>
    <rPh sb="0" eb="3">
      <t>カイシビ</t>
    </rPh>
    <phoneticPr fontId="1"/>
  </si>
  <si>
    <t>今日の日付</t>
    <rPh sb="0" eb="2">
      <t>キョウ</t>
    </rPh>
    <rPh sb="3" eb="5">
      <t>ヒヅケ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</si>
  <si>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</si>
  <si>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</si>
  <si>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</si>
  <si>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</si>
  <si>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・当たり判定</t>
    <rPh sb="1" eb="2">
      <t>ア</t>
    </rPh>
    <rPh sb="4" eb="6">
      <t>ハンテイ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</si>
  <si>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</si>
  <si>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</si>
  <si>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</si>
  <si>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タスク一覧</t>
    <rPh sb="3" eb="5">
      <t>イチラン</t>
    </rPh>
    <phoneticPr fontId="1"/>
  </si>
  <si>
    <t>　ー　プレイヤーと壁</t>
    <rPh sb="9" eb="10">
      <t>カベ</t>
    </rPh>
    <phoneticPr fontId="1"/>
  </si>
  <si>
    <t>　ー　プレイヤーと敵</t>
    <rPh sb="9" eb="10">
      <t>テキ</t>
    </rPh>
    <phoneticPr fontId="1"/>
  </si>
  <si>
    <t>プレイヤー</t>
    <phoneticPr fontId="1"/>
  </si>
  <si>
    <t>　ー　移動</t>
    <rPh sb="3" eb="5">
      <t>イドウ</t>
    </rPh>
    <phoneticPr fontId="1"/>
  </si>
  <si>
    <t>　ー　移送速度</t>
    <rPh sb="3" eb="7">
      <t>イソウソクド</t>
    </rPh>
    <phoneticPr fontId="1"/>
  </si>
  <si>
    <t>・待機</t>
    <rPh sb="1" eb="3">
      <t>タイキ</t>
    </rPh>
    <phoneticPr fontId="1"/>
  </si>
  <si>
    <t>・移動</t>
    <rPh sb="1" eb="3">
      <t>イドウ</t>
    </rPh>
    <phoneticPr fontId="1"/>
  </si>
  <si>
    <t>・攻撃</t>
    <rPh sb="1" eb="3">
      <t>コウゲキ</t>
    </rPh>
    <phoneticPr fontId="1"/>
  </si>
  <si>
    <t>　ー　カード使用</t>
    <rPh sb="6" eb="8">
      <t>シヨウ</t>
    </rPh>
    <phoneticPr fontId="1"/>
  </si>
  <si>
    <t>　ー　パンチ</t>
    <phoneticPr fontId="1"/>
  </si>
  <si>
    <t>　　ー攻撃力</t>
    <rPh sb="3" eb="6">
      <t>コウゲキリョク</t>
    </rPh>
    <phoneticPr fontId="1"/>
  </si>
  <si>
    <t>　　ークールタイム</t>
    <phoneticPr fontId="1"/>
  </si>
  <si>
    <t>　ー　移動距離</t>
    <rPh sb="3" eb="7">
      <t>イドウキョリ</t>
    </rPh>
    <phoneticPr fontId="1"/>
  </si>
  <si>
    <t>・ダッシュ（回避行動）</t>
    <rPh sb="6" eb="10">
      <t>カイヒコウドウ</t>
    </rPh>
    <phoneticPr fontId="1"/>
  </si>
  <si>
    <t>　ー　クールタイム</t>
    <phoneticPr fontId="1"/>
  </si>
  <si>
    <t>・HP</t>
    <phoneticPr fontId="1"/>
  </si>
  <si>
    <t>・ダメージ</t>
    <phoneticPr fontId="1"/>
  </si>
  <si>
    <t>・死亡</t>
    <rPh sb="1" eb="3">
      <t>シボウ</t>
    </rPh>
    <phoneticPr fontId="1"/>
  </si>
  <si>
    <t>マップ</t>
    <phoneticPr fontId="1"/>
  </si>
  <si>
    <t>・敵のスポーン</t>
    <rPh sb="1" eb="2">
      <t>テキ</t>
    </rPh>
    <phoneticPr fontId="1"/>
  </si>
  <si>
    <t>・お金のドロップ</t>
    <rPh sb="2" eb="3">
      <t>カネ</t>
    </rPh>
    <phoneticPr fontId="1"/>
  </si>
  <si>
    <t>フェーズ</t>
    <phoneticPr fontId="1"/>
  </si>
  <si>
    <t>・フェーズ処理</t>
    <rPh sb="5" eb="7">
      <t>ショリ</t>
    </rPh>
    <phoneticPr fontId="1"/>
  </si>
  <si>
    <t>　ー　ストアフェーズ</t>
    <phoneticPr fontId="1"/>
  </si>
  <si>
    <t>　ー　ザコフェーズ１</t>
    <phoneticPr fontId="1"/>
  </si>
  <si>
    <t>　ー　ザコフェーズ２</t>
    <phoneticPr fontId="1"/>
  </si>
  <si>
    <t>　ー　ボスフェーズ</t>
    <phoneticPr fontId="1"/>
  </si>
  <si>
    <t>・第一ステージ</t>
    <rPh sb="1" eb="3">
      <t>ダイイチ</t>
    </rPh>
    <phoneticPr fontId="1"/>
  </si>
  <si>
    <t>・第二ステージ</t>
    <rPh sb="1" eb="3">
      <t>ダイニ</t>
    </rPh>
    <phoneticPr fontId="1"/>
  </si>
  <si>
    <t>・第三ステージ</t>
    <rPh sb="1" eb="3">
      <t>ダイサン</t>
    </rPh>
    <phoneticPr fontId="1"/>
  </si>
  <si>
    <t>カード</t>
    <phoneticPr fontId="1"/>
  </si>
  <si>
    <t>敵</t>
    <rPh sb="0" eb="1">
      <t>テキ</t>
    </rPh>
    <phoneticPr fontId="1"/>
  </si>
  <si>
    <t>プロト</t>
  </si>
  <si>
    <t>プロト</t>
    <phoneticPr fontId="1"/>
  </si>
  <si>
    <t>・動作</t>
    <rPh sb="1" eb="3">
      <t>ドウサ</t>
    </rPh>
    <phoneticPr fontId="1"/>
  </si>
  <si>
    <t>　ー　行動</t>
    <rPh sb="3" eb="5">
      <t>コウドウ</t>
    </rPh>
    <phoneticPr fontId="1"/>
  </si>
  <si>
    <t>　ー　攻撃</t>
    <rPh sb="3" eb="5">
      <t>コウゲキ</t>
    </rPh>
    <phoneticPr fontId="1"/>
  </si>
  <si>
    <t>　ー　アニメーション</t>
    <phoneticPr fontId="1"/>
  </si>
  <si>
    <t>　ー　被ダメージ</t>
    <rPh sb="3" eb="4">
      <t>ヒ</t>
    </rPh>
    <phoneticPr fontId="1"/>
  </si>
  <si>
    <t>担当</t>
    <rPh sb="0" eb="2">
      <t>タントウ</t>
    </rPh>
    <phoneticPr fontId="1"/>
  </si>
  <si>
    <t>福田</t>
    <rPh sb="0" eb="2">
      <t>フクダ</t>
    </rPh>
    <phoneticPr fontId="1"/>
  </si>
  <si>
    <t>麻生</t>
    <rPh sb="0" eb="2">
      <t>アソウ</t>
    </rPh>
    <phoneticPr fontId="1"/>
  </si>
  <si>
    <t>　麻生</t>
    <rPh sb="1" eb="3">
      <t>アソウ</t>
    </rPh>
    <phoneticPr fontId="1"/>
  </si>
  <si>
    <t>平野</t>
    <rPh sb="0" eb="2">
      <t>ヒラノ</t>
    </rPh>
    <phoneticPr fontId="1"/>
  </si>
  <si>
    <t>　ー　死亡</t>
    <rPh sb="3" eb="5">
      <t>シボウ</t>
    </rPh>
    <phoneticPr fontId="1"/>
  </si>
  <si>
    <t>近ザコ敵</t>
    <rPh sb="0" eb="1">
      <t>キン</t>
    </rPh>
    <rPh sb="3" eb="4">
      <t>テキ</t>
    </rPh>
    <phoneticPr fontId="1"/>
  </si>
  <si>
    <t>遠ザコ敵</t>
    <rPh sb="0" eb="1">
      <t>トオ</t>
    </rPh>
    <rPh sb="3" eb="4">
      <t>テキ</t>
    </rPh>
    <phoneticPr fontId="1"/>
  </si>
  <si>
    <t>　ー　攻撃2</t>
    <rPh sb="3" eb="5">
      <t>コウゲキ</t>
    </rPh>
    <phoneticPr fontId="1"/>
  </si>
  <si>
    <t>　ー　攻撃1</t>
    <rPh sb="3" eb="5">
      <t>コウゲキ</t>
    </rPh>
    <phoneticPr fontId="1"/>
  </si>
  <si>
    <t>　ー　攻撃3</t>
    <rPh sb="3" eb="5">
      <t>コウゲキ</t>
    </rPh>
    <phoneticPr fontId="1"/>
  </si>
  <si>
    <t>ボス敵1</t>
    <rPh sb="2" eb="3">
      <t>テキ</t>
    </rPh>
    <phoneticPr fontId="1"/>
  </si>
  <si>
    <t>ボス敵2</t>
    <rPh sb="2" eb="3">
      <t>テキ</t>
    </rPh>
    <phoneticPr fontId="1"/>
  </si>
  <si>
    <t>ボス敵3</t>
    <rPh sb="2" eb="3">
      <t>テキ</t>
    </rPh>
    <phoneticPr fontId="1"/>
  </si>
  <si>
    <t>　ー　ダメージ、死亡演出</t>
    <rPh sb="8" eb="10">
      <t>シボウ</t>
    </rPh>
    <rPh sb="10" eb="12">
      <t>エンシュツ</t>
    </rPh>
    <phoneticPr fontId="1"/>
  </si>
  <si>
    <t>・死亡演出</t>
    <rPh sb="1" eb="5">
      <t>シボウエンシュツ</t>
    </rPh>
    <phoneticPr fontId="1"/>
  </si>
  <si>
    <t>・被ダメージ演出</t>
    <rPh sb="1" eb="2">
      <t>ヒ</t>
    </rPh>
    <rPh sb="6" eb="8">
      <t>エンシュツ</t>
    </rPh>
    <phoneticPr fontId="1"/>
  </si>
  <si>
    <t>・カード4種</t>
    <rPh sb="5" eb="6">
      <t>シュ</t>
    </rPh>
    <phoneticPr fontId="1"/>
  </si>
  <si>
    <t>　ー　強切り</t>
    <rPh sb="3" eb="4">
      <t>ツヨ</t>
    </rPh>
    <rPh sb="4" eb="5">
      <t>キ</t>
    </rPh>
    <phoneticPr fontId="1"/>
  </si>
  <si>
    <t>　ー　火</t>
    <rPh sb="3" eb="4">
      <t>ヒ</t>
    </rPh>
    <phoneticPr fontId="1"/>
  </si>
  <si>
    <t>　ー　攻撃UP</t>
    <rPh sb="3" eb="5">
      <t>コウゲキ</t>
    </rPh>
    <phoneticPr fontId="1"/>
  </si>
  <si>
    <t>　ー　回復</t>
    <rPh sb="3" eb="5">
      <t>カイフク</t>
    </rPh>
    <phoneticPr fontId="1"/>
  </si>
  <si>
    <t>・使用時</t>
    <rPh sb="1" eb="4">
      <t>シヨウジ</t>
    </rPh>
    <phoneticPr fontId="1"/>
  </si>
  <si>
    <t>　ー　選択カードのハイライト</t>
    <rPh sb="3" eb="5">
      <t>センタク</t>
    </rPh>
    <phoneticPr fontId="1"/>
  </si>
  <si>
    <t>　ー　合成のガイド</t>
    <rPh sb="3" eb="5">
      <t>ゴウセイ</t>
    </rPh>
    <phoneticPr fontId="1"/>
  </si>
  <si>
    <t>　ー　使用時演出</t>
    <rPh sb="3" eb="6">
      <t>シヨウジ</t>
    </rPh>
    <rPh sb="6" eb="8">
      <t>エンシュツ</t>
    </rPh>
    <phoneticPr fontId="1"/>
  </si>
  <si>
    <t>　ー　カーソルの切り替え</t>
    <rPh sb="8" eb="9">
      <t>キ</t>
    </rPh>
    <rPh sb="10" eb="11">
      <t>カ</t>
    </rPh>
    <phoneticPr fontId="1"/>
  </si>
  <si>
    <t>　ー　カード選択</t>
    <rPh sb="6" eb="8">
      <t>センタク</t>
    </rPh>
    <phoneticPr fontId="1"/>
  </si>
  <si>
    <t>　ー　カード実行</t>
    <rPh sb="6" eb="8">
      <t>ジッコウ</t>
    </rPh>
    <phoneticPr fontId="1"/>
  </si>
  <si>
    <t>　ー　当たり判定</t>
    <rPh sb="3" eb="4">
      <t>ア</t>
    </rPh>
    <rPh sb="6" eb="8">
      <t>ハンテイ</t>
    </rPh>
    <phoneticPr fontId="1"/>
  </si>
  <si>
    <t>デッキ関連</t>
    <rPh sb="3" eb="5">
      <t>カンレン</t>
    </rPh>
    <phoneticPr fontId="1"/>
  </si>
  <si>
    <t>　ー　所持カード保存</t>
    <rPh sb="3" eb="5">
      <t>ショジ</t>
    </rPh>
    <rPh sb="8" eb="10">
      <t>ホゾン</t>
    </rPh>
    <phoneticPr fontId="1"/>
  </si>
  <si>
    <t>　ー　デッキカード保存</t>
    <rPh sb="9" eb="11">
      <t>ホゾン</t>
    </rPh>
    <phoneticPr fontId="1"/>
  </si>
  <si>
    <t>　ー　デッキ編集</t>
    <rPh sb="6" eb="8">
      <t>ヘンシュウ</t>
    </rPh>
    <phoneticPr fontId="1"/>
  </si>
  <si>
    <t>UI</t>
    <phoneticPr fontId="1"/>
  </si>
  <si>
    <t>ストア</t>
    <phoneticPr fontId="1"/>
  </si>
  <si>
    <t>寺尾</t>
    <rPh sb="0" eb="2">
      <t>テラオ</t>
    </rPh>
    <phoneticPr fontId="1"/>
  </si>
  <si>
    <t>　ー　パック</t>
    <phoneticPr fontId="1"/>
  </si>
  <si>
    <t>　ー　UI</t>
    <phoneticPr fontId="1"/>
  </si>
  <si>
    <t>・手札</t>
    <rPh sb="1" eb="3">
      <t>テフダ</t>
    </rPh>
    <phoneticPr fontId="1"/>
  </si>
  <si>
    <t>　ー　カード合成</t>
    <rPh sb="6" eb="8">
      <t>ゴウセイ</t>
    </rPh>
    <phoneticPr fontId="1"/>
  </si>
  <si>
    <t>　ー　ハイライト</t>
    <phoneticPr fontId="1"/>
  </si>
  <si>
    <t>・お金</t>
    <rPh sb="2" eb="3">
      <t>カネ</t>
    </rPh>
    <phoneticPr fontId="1"/>
  </si>
  <si>
    <t>・体力</t>
    <rPh sb="1" eb="3">
      <t>タイリョク</t>
    </rPh>
    <phoneticPr fontId="1"/>
  </si>
  <si>
    <t>お金</t>
    <rPh sb="1" eb="2">
      <t>カネ</t>
    </rPh>
    <phoneticPr fontId="1"/>
  </si>
  <si>
    <t>シーン遷移</t>
    <rPh sb="3" eb="5">
      <t>センイ</t>
    </rPh>
    <phoneticPr fontId="1"/>
  </si>
  <si>
    <t>・スタート画面</t>
    <rPh sb="5" eb="7">
      <t>ガメン</t>
    </rPh>
    <phoneticPr fontId="1"/>
  </si>
  <si>
    <t>　ー　スタートボタン</t>
    <phoneticPr fontId="1"/>
  </si>
  <si>
    <t>　ー　ゲーム終了</t>
    <rPh sb="6" eb="8">
      <t>シュウリョウ</t>
    </rPh>
    <phoneticPr fontId="1"/>
  </si>
  <si>
    <t>・ゲームオーバー画面</t>
    <rPh sb="8" eb="10">
      <t>ガメン</t>
    </rPh>
    <phoneticPr fontId="1"/>
  </si>
  <si>
    <t>　ー　スタートに戻る</t>
    <rPh sb="8" eb="9">
      <t>モド</t>
    </rPh>
    <phoneticPr fontId="1"/>
  </si>
  <si>
    <t>・ゲームクリア画面</t>
    <rPh sb="7" eb="9">
      <t>ガメン</t>
    </rPh>
    <phoneticPr fontId="1"/>
  </si>
  <si>
    <t>タイミング</t>
    <phoneticPr fontId="1"/>
  </si>
  <si>
    <t>アルファ</t>
  </si>
  <si>
    <t>一人当たりの平均コスト</t>
    <rPh sb="0" eb="3">
      <t>ヒトリア</t>
    </rPh>
    <rPh sb="6" eb="8">
      <t>ヘイキン</t>
    </rPh>
    <phoneticPr fontId="1"/>
  </si>
  <si>
    <t>人数</t>
    <rPh sb="0" eb="2">
      <t>ニンズウ</t>
    </rPh>
    <phoneticPr fontId="1"/>
  </si>
  <si>
    <t>関数用</t>
    <rPh sb="0" eb="3">
      <t>カンスウヨウ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</si>
</sst>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6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4" borderId="2" xfId="0" applyFill="1" applyBorder="1"/>
    <xf numFmtId="0" fontId="0" fillId="0" borderId="1" xfId="0" applyFill="1" applyBorder="1"/>
    <xf numFmtId="0" fontId="2" fillId="0" borderId="1" xfId="0" applyFont="1" applyFill="1" applyBorder="1"/>
    <xf numFmtId="0" fontId="4" fillId="9" borderId="1" xfId="0" applyFont="1" applyFill="1" applyBorder="1"/>
    <xf numFmtId="0" fontId="3" fillId="9" borderId="1" xfId="0" applyFont="1" applyFill="1" applyBorder="1"/>
    <xf numFmtId="0" fontId="0" fillId="9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abSelected="1" topLeftCell="F1" zoomScaleNormal="100" workbookViewId="0">
      <selection activeCell="E97" sqref="E97"/>
    </sheetView>
  </sheetViews>
  <sheetFormatPr defaultRowHeight="18.75"/>
  <cols>
    <col min="3" max="3" width="37.75" bestFit="1" customWidth="1"/>
    <col min="4" max="4" width="10.375" customWidth="1"/>
    <col min="6" max="6" width="12.625" customWidth="1"/>
    <col min="7" max="7" width="9.125" customWidth="1"/>
    <col min="8" max="9" width="21" bestFit="1" customWidth="1"/>
    <col min="10" max="10" width="17.25" bestFit="1" customWidth="1"/>
    <col min="11" max="11" width="18.875" bestFit="1" customWidth="1"/>
    <col min="12" max="12" width="21.375" bestFit="1" customWidth="1"/>
    <col min="13" max="13" width="17.75" customWidth="1"/>
    <col min="15" max="15" width="19" customWidth="1"/>
  </cols>
  <sheetData>
    <row r="1" spans="1:22">
      <c r="A1" t="s">
        <v>0</v>
      </c>
    </row>
    <row r="2" spans="1:22">
      <c r="B2" s="13" t="s">
        <v>62</v>
      </c>
      <c r="C2" s="13" t="s">
        <v>22</v>
      </c>
      <c r="D2" s="13" t="s">
        <v>114</v>
      </c>
      <c r="E2" s="13" t="s">
        <v>1</v>
      </c>
      <c r="F2" s="13" t="s">
        <v>2</v>
      </c>
      <c r="G2" s="13" t="s">
        <v>3</v>
      </c>
      <c r="I2" s="5" t="s">
        <v>4</v>
      </c>
      <c r="J2">
        <f>SUM(E3:E90)</f>
        <v>191</v>
      </c>
    </row>
    <row r="3" spans="1:22">
      <c r="B3" s="4" t="s">
        <v>63</v>
      </c>
      <c r="C3" s="4" t="s">
        <v>18</v>
      </c>
      <c r="D3" s="4" t="s">
        <v>55</v>
      </c>
      <c r="E3" s="4">
        <v>1</v>
      </c>
      <c r="F3" s="4"/>
      <c r="G3" s="4"/>
      <c r="I3" s="16" t="s">
        <v>116</v>
      </c>
      <c r="J3">
        <f>J2/V5</f>
        <v>47.75</v>
      </c>
    </row>
    <row r="4" spans="1:22">
      <c r="B4" s="12"/>
      <c r="C4" s="12" t="s">
        <v>23</v>
      </c>
      <c r="D4" s="12"/>
      <c r="E4" s="12"/>
      <c r="F4" s="12"/>
      <c r="G4" s="12" t="s">
        <v>9</v>
      </c>
      <c r="I4" s="6" t="s">
        <v>6</v>
      </c>
      <c r="J4">
        <f>SUMIF(G3:G90,"完了",E3:E90)</f>
        <v>36</v>
      </c>
      <c r="M4" t="s">
        <v>7</v>
      </c>
      <c r="N4" t="s">
        <v>8</v>
      </c>
      <c r="U4" t="s">
        <v>118</v>
      </c>
    </row>
    <row r="5" spans="1:22">
      <c r="B5" s="12"/>
      <c r="C5" s="12" t="s">
        <v>24</v>
      </c>
      <c r="D5" s="12"/>
      <c r="E5" s="12"/>
      <c r="F5" s="12"/>
      <c r="G5" s="12" t="s">
        <v>9</v>
      </c>
      <c r="I5" s="7" t="s">
        <v>10</v>
      </c>
      <c r="J5" s="2">
        <f ca="1">NETWORKDAYS(J6,J7)</f>
        <v>22</v>
      </c>
      <c r="K5" t="s">
        <v>11</v>
      </c>
      <c r="L5" s="3">
        <f ca="1" xml:space="preserve"> J4 / J5</f>
        <v>1.6363636363636365</v>
      </c>
      <c r="M5" s="2">
        <f ca="1">_xlfn.DAYS(J7,J6)</f>
        <v>29</v>
      </c>
      <c r="N5" s="3">
        <f ca="1">J4/M5</f>
        <v>1.2413793103448276</v>
      </c>
      <c r="U5" t="s">
        <v>117</v>
      </c>
      <c r="V5">
        <v>4</v>
      </c>
    </row>
    <row r="6" spans="1:22">
      <c r="B6" s="12"/>
      <c r="C6" s="12"/>
      <c r="D6" s="12"/>
      <c r="E6" s="12"/>
      <c r="F6" s="12"/>
      <c r="G6" s="12"/>
      <c r="I6" s="8" t="s">
        <v>12</v>
      </c>
      <c r="J6" s="1">
        <f>DATE(2026,5,7)</f>
        <v>46149</v>
      </c>
    </row>
    <row r="7" spans="1:22">
      <c r="B7" s="4" t="s">
        <v>63</v>
      </c>
      <c r="C7" s="4" t="s">
        <v>25</v>
      </c>
      <c r="D7" s="4" t="s">
        <v>55</v>
      </c>
      <c r="E7" s="4">
        <v>11</v>
      </c>
      <c r="F7" s="4"/>
      <c r="G7" s="4"/>
      <c r="I7" s="9" t="s">
        <v>13</v>
      </c>
      <c r="J7" s="1">
        <f ca="1">TODAY()</f>
        <v>46178</v>
      </c>
    </row>
    <row r="8" spans="1:22">
      <c r="B8" s="12"/>
      <c r="C8" s="12" t="s">
        <v>28</v>
      </c>
      <c r="D8" s="12"/>
      <c r="E8" s="12"/>
      <c r="F8" s="12"/>
      <c r="G8" s="12" t="s">
        <v>9</v>
      </c>
    </row>
    <row r="9" spans="1:22">
      <c r="B9" s="12"/>
      <c r="C9" s="12" t="s">
        <v>29</v>
      </c>
      <c r="D9" s="12"/>
      <c r="E9" s="12"/>
      <c r="F9" s="12"/>
      <c r="G9" s="12" t="s">
        <v>9</v>
      </c>
    </row>
    <row r="10" spans="1:22">
      <c r="B10" s="12"/>
      <c r="C10" s="12" t="s">
        <v>27</v>
      </c>
      <c r="D10" s="12"/>
      <c r="E10" s="12"/>
      <c r="F10" s="12"/>
      <c r="G10" s="12" t="s">
        <v>9</v>
      </c>
    </row>
    <row r="11" spans="1:22">
      <c r="B11" s="12"/>
      <c r="C11" s="12" t="s">
        <v>30</v>
      </c>
      <c r="D11" s="12"/>
      <c r="E11" s="12"/>
      <c r="F11" s="12"/>
      <c r="G11" s="12" t="s">
        <v>9</v>
      </c>
    </row>
    <row r="12" spans="1:22">
      <c r="B12" s="12" t="s">
        <v>65</v>
      </c>
      <c r="C12" s="12" t="s">
        <v>31</v>
      </c>
      <c r="D12" s="12"/>
      <c r="E12" s="12"/>
      <c r="F12" s="12"/>
      <c r="G12" s="12" t="s">
        <v>9</v>
      </c>
    </row>
    <row r="13" spans="1:22">
      <c r="B13" s="12"/>
      <c r="C13" s="12" t="s">
        <v>32</v>
      </c>
      <c r="D13" s="12"/>
      <c r="E13" s="12"/>
      <c r="F13" s="12"/>
      <c r="G13" s="12" t="s">
        <v>9</v>
      </c>
      <c r="K13" t="s">
        <v>14</v>
      </c>
      <c r="L13" t="s">
        <v>15</v>
      </c>
      <c r="M13" t="s">
        <v>16</v>
      </c>
      <c r="N13" t="s">
        <v>17</v>
      </c>
    </row>
    <row r="14" spans="1:22">
      <c r="B14" s="12"/>
      <c r="C14" s="12" t="s">
        <v>34</v>
      </c>
      <c r="D14" s="12"/>
      <c r="E14" s="12"/>
      <c r="F14" s="12"/>
      <c r="G14" s="12" t="s">
        <v>9</v>
      </c>
      <c r="I14" s="5" t="s">
        <v>19</v>
      </c>
      <c r="J14" s="1">
        <f>DATE(2026,7,27)</f>
        <v>46230</v>
      </c>
      <c r="K14" s="2">
        <f ca="1">NETWORKDAYS(TODAY(),J14)</f>
        <v>37</v>
      </c>
      <c r="L14" s="3">
        <f ca="1">($J$2 - $J$4) / K14</f>
        <v>4.1891891891891895</v>
      </c>
      <c r="M14">
        <f ca="1">_xlfn.DAYS(J14,$J$7)</f>
        <v>52</v>
      </c>
      <c r="N14" s="3">
        <f ca="1">($J$2 - $J$4) / M14</f>
        <v>2.9807692307692308</v>
      </c>
    </row>
    <row r="15" spans="1:22">
      <c r="B15" s="12"/>
      <c r="C15" s="12" t="s">
        <v>33</v>
      </c>
      <c r="D15" s="12"/>
      <c r="E15" s="12"/>
      <c r="F15" s="12"/>
      <c r="G15" s="12" t="s">
        <v>9</v>
      </c>
      <c r="I15" s="10" t="s">
        <v>20</v>
      </c>
      <c r="J15" s="1">
        <f>DATE(2026,7,31)</f>
        <v>46234</v>
      </c>
      <c r="K15" s="2">
        <f t="shared" ref="K15:K16" ca="1" si="0">NETWORKDAYS(TODAY(),J15)</f>
        <v>41</v>
      </c>
      <c r="L15" s="3">
        <f ca="1">($J$2 - $J$4) / K15</f>
        <v>3.7804878048780486</v>
      </c>
      <c r="M15">
        <f ca="1">_xlfn.DAYS(J15,$J$7)</f>
        <v>56</v>
      </c>
      <c r="N15" s="3">
        <f ca="1">($J$2 - $J$4) / M15</f>
        <v>2.7678571428571428</v>
      </c>
    </row>
    <row r="16" spans="1:22">
      <c r="B16" s="12"/>
      <c r="C16" s="12" t="s">
        <v>36</v>
      </c>
      <c r="D16" s="12"/>
      <c r="E16" s="12"/>
      <c r="F16" s="12"/>
      <c r="G16" s="12" t="s">
        <v>9</v>
      </c>
      <c r="I16" s="11" t="s">
        <v>21</v>
      </c>
      <c r="J16" s="1">
        <f>DATE(2026,7,31)</f>
        <v>46234</v>
      </c>
      <c r="K16" s="2">
        <f t="shared" ca="1" si="0"/>
        <v>41</v>
      </c>
      <c r="L16" s="3">
        <f ca="1">($J$2 - $J$4) / K16</f>
        <v>3.7804878048780486</v>
      </c>
      <c r="M16">
        <f ca="1">_xlfn.DAYS(J16,$J$7)</f>
        <v>56</v>
      </c>
      <c r="N16" s="3">
        <f ca="1">($J$2 - $J$4) / M16</f>
        <v>2.7678571428571428</v>
      </c>
    </row>
    <row r="17" spans="2:7">
      <c r="B17" s="12"/>
      <c r="C17" s="12" t="s">
        <v>35</v>
      </c>
      <c r="D17" s="12"/>
      <c r="E17" s="12"/>
      <c r="F17" s="12"/>
      <c r="G17" s="12" t="s">
        <v>9</v>
      </c>
    </row>
    <row r="18" spans="2:7">
      <c r="B18" s="12"/>
      <c r="C18" s="12" t="s">
        <v>37</v>
      </c>
      <c r="D18" s="12"/>
      <c r="E18" s="12"/>
      <c r="F18" s="12"/>
      <c r="G18" s="12" t="s">
        <v>9</v>
      </c>
    </row>
    <row r="19" spans="2:7">
      <c r="B19" s="12"/>
      <c r="C19" s="12" t="s">
        <v>38</v>
      </c>
      <c r="D19" s="12"/>
      <c r="E19" s="12"/>
      <c r="F19" s="12"/>
      <c r="G19" s="12" t="s">
        <v>9</v>
      </c>
    </row>
    <row r="20" spans="2:7">
      <c r="B20" s="12"/>
      <c r="C20" s="12" t="s">
        <v>39</v>
      </c>
      <c r="D20" s="12"/>
      <c r="E20" s="12"/>
      <c r="F20" s="12"/>
      <c r="G20" s="12" t="s">
        <v>9</v>
      </c>
    </row>
    <row r="21" spans="2:7">
      <c r="B21" s="12"/>
      <c r="C21" s="12" t="s">
        <v>40</v>
      </c>
      <c r="D21" s="12"/>
      <c r="E21" s="12"/>
      <c r="F21" s="12"/>
      <c r="G21" s="12" t="s">
        <v>9</v>
      </c>
    </row>
    <row r="22" spans="2:7">
      <c r="B22" s="16"/>
      <c r="C22" s="16" t="s">
        <v>78</v>
      </c>
      <c r="D22" s="16" t="s">
        <v>115</v>
      </c>
      <c r="E22" s="16"/>
      <c r="F22" s="16"/>
      <c r="G22" s="16" t="s">
        <v>5</v>
      </c>
    </row>
    <row r="23" spans="2:7">
      <c r="B23" s="14"/>
      <c r="C23" s="14" t="s">
        <v>77</v>
      </c>
      <c r="D23" s="15" t="s">
        <v>115</v>
      </c>
      <c r="E23" s="15"/>
      <c r="F23" s="15"/>
      <c r="G23" s="15" t="s">
        <v>5</v>
      </c>
    </row>
    <row r="24" spans="2:7">
      <c r="B24" s="12"/>
      <c r="C24" s="12"/>
      <c r="D24" s="12"/>
      <c r="E24" s="12"/>
      <c r="F24" s="12"/>
      <c r="G24" s="12"/>
    </row>
    <row r="25" spans="2:7">
      <c r="B25" s="4" t="s">
        <v>66</v>
      </c>
      <c r="C25" s="4" t="s">
        <v>41</v>
      </c>
      <c r="D25" s="4" t="s">
        <v>55</v>
      </c>
      <c r="E25" s="4">
        <v>4</v>
      </c>
      <c r="F25" s="4"/>
      <c r="G25" s="4"/>
    </row>
    <row r="26" spans="2:7">
      <c r="B26" s="12"/>
      <c r="C26" s="12" t="s">
        <v>42</v>
      </c>
      <c r="D26" s="12"/>
      <c r="E26" s="12"/>
      <c r="F26" s="12"/>
      <c r="G26" s="12" t="s">
        <v>9</v>
      </c>
    </row>
    <row r="27" spans="2:7">
      <c r="B27" s="12"/>
      <c r="C27" s="12" t="s">
        <v>43</v>
      </c>
      <c r="D27" s="12"/>
      <c r="E27" s="12"/>
      <c r="F27" s="12"/>
      <c r="G27" s="12" t="s">
        <v>9</v>
      </c>
    </row>
    <row r="28" spans="2:7">
      <c r="B28" s="12"/>
      <c r="C28" s="12"/>
      <c r="D28" s="12"/>
      <c r="E28" s="12"/>
      <c r="F28" s="12"/>
      <c r="G28" s="12"/>
    </row>
    <row r="29" spans="2:7">
      <c r="B29" s="4" t="s">
        <v>66</v>
      </c>
      <c r="C29" s="4" t="s">
        <v>44</v>
      </c>
      <c r="D29" s="4" t="s">
        <v>115</v>
      </c>
      <c r="E29" s="4"/>
      <c r="F29" s="4"/>
      <c r="G29" s="4"/>
    </row>
    <row r="30" spans="2:7">
      <c r="B30" s="12"/>
      <c r="C30" s="12" t="s">
        <v>45</v>
      </c>
      <c r="D30" s="12"/>
      <c r="E30" s="12">
        <v>12</v>
      </c>
      <c r="F30" s="12"/>
      <c r="G30" s="12" t="s">
        <v>5</v>
      </c>
    </row>
    <row r="31" spans="2:7">
      <c r="B31" s="12"/>
      <c r="C31" s="12" t="s">
        <v>46</v>
      </c>
      <c r="D31" s="12"/>
      <c r="E31" s="12">
        <v>2</v>
      </c>
      <c r="F31" s="12"/>
      <c r="G31" s="12" t="s">
        <v>5</v>
      </c>
    </row>
    <row r="32" spans="2:7">
      <c r="B32" s="12"/>
      <c r="C32" s="12" t="s">
        <v>47</v>
      </c>
      <c r="D32" s="12"/>
      <c r="E32" s="12">
        <v>4</v>
      </c>
      <c r="F32" s="12"/>
      <c r="G32" s="12" t="s">
        <v>5</v>
      </c>
    </row>
    <row r="33" spans="2:7">
      <c r="B33" s="12"/>
      <c r="C33" s="12" t="s">
        <v>48</v>
      </c>
      <c r="D33" s="12"/>
      <c r="E33" s="12">
        <v>4</v>
      </c>
      <c r="F33" s="12"/>
      <c r="G33" s="12" t="s">
        <v>5</v>
      </c>
    </row>
    <row r="34" spans="2:7">
      <c r="B34" s="12"/>
      <c r="C34" s="12" t="s">
        <v>49</v>
      </c>
      <c r="D34" s="12"/>
      <c r="E34" s="12">
        <v>5</v>
      </c>
      <c r="F34" s="12"/>
      <c r="G34" s="12" t="s">
        <v>5</v>
      </c>
    </row>
    <row r="35" spans="2:7">
      <c r="B35" s="12"/>
      <c r="C35" s="12" t="s">
        <v>50</v>
      </c>
      <c r="D35" s="12"/>
      <c r="E35" s="12">
        <v>2</v>
      </c>
      <c r="F35" s="12"/>
      <c r="G35" s="12" t="s">
        <v>5</v>
      </c>
    </row>
    <row r="36" spans="2:7">
      <c r="B36" s="12"/>
      <c r="C36" s="12" t="s">
        <v>51</v>
      </c>
      <c r="D36" s="12"/>
      <c r="E36" s="12">
        <v>2</v>
      </c>
      <c r="F36" s="12"/>
      <c r="G36" s="12" t="s">
        <v>5</v>
      </c>
    </row>
    <row r="37" spans="2:7">
      <c r="B37" s="12"/>
      <c r="C37" s="12" t="s">
        <v>52</v>
      </c>
      <c r="D37" s="12"/>
      <c r="E37" s="12">
        <v>2</v>
      </c>
      <c r="F37" s="12"/>
      <c r="G37" s="12" t="s">
        <v>5</v>
      </c>
    </row>
    <row r="38" spans="2:7">
      <c r="B38" s="12"/>
      <c r="C38" s="12"/>
      <c r="D38" s="12"/>
      <c r="E38" s="12"/>
      <c r="F38" s="12"/>
      <c r="G38" s="12"/>
    </row>
    <row r="39" spans="2:7">
      <c r="B39" s="12" t="s">
        <v>66</v>
      </c>
      <c r="C39" s="12" t="s">
        <v>54</v>
      </c>
      <c r="D39" s="12"/>
      <c r="E39" s="12"/>
      <c r="F39" s="12"/>
      <c r="G39" s="12"/>
    </row>
    <row r="40" spans="2:7">
      <c r="B40" s="4"/>
      <c r="C40" s="4" t="s">
        <v>57</v>
      </c>
      <c r="D40" s="4" t="s">
        <v>55</v>
      </c>
      <c r="E40" s="4"/>
      <c r="F40" s="4"/>
      <c r="G40" s="4"/>
    </row>
    <row r="41" spans="2:7">
      <c r="B41" s="12"/>
      <c r="C41" s="12" t="s">
        <v>58</v>
      </c>
      <c r="D41" s="12"/>
      <c r="E41" s="12">
        <v>4</v>
      </c>
      <c r="F41" s="12">
        <v>6</v>
      </c>
      <c r="G41" s="12" t="s">
        <v>9</v>
      </c>
    </row>
    <row r="42" spans="2:7">
      <c r="B42" s="12"/>
      <c r="C42" s="12" t="s">
        <v>60</v>
      </c>
      <c r="D42" s="12"/>
      <c r="E42" s="12">
        <v>4</v>
      </c>
      <c r="F42" s="12">
        <v>4</v>
      </c>
      <c r="G42" s="12" t="s">
        <v>9</v>
      </c>
    </row>
    <row r="43" spans="2:7">
      <c r="B43" s="12"/>
      <c r="C43" s="12" t="s">
        <v>61</v>
      </c>
      <c r="D43" s="12"/>
      <c r="E43" s="12">
        <v>1</v>
      </c>
      <c r="F43" s="12">
        <v>0.5</v>
      </c>
      <c r="G43" s="12" t="s">
        <v>9</v>
      </c>
    </row>
    <row r="44" spans="2:7">
      <c r="B44" s="12"/>
      <c r="C44" s="12" t="s">
        <v>67</v>
      </c>
      <c r="D44" s="12"/>
      <c r="E44" s="12">
        <v>2</v>
      </c>
      <c r="F44" s="12">
        <v>1.5</v>
      </c>
      <c r="G44" s="12" t="s">
        <v>9</v>
      </c>
    </row>
    <row r="45" spans="2:7">
      <c r="B45" s="12"/>
      <c r="C45" s="12" t="s">
        <v>76</v>
      </c>
      <c r="D45" s="12" t="s">
        <v>115</v>
      </c>
      <c r="E45" s="12">
        <v>2</v>
      </c>
      <c r="F45" s="12"/>
      <c r="G45" s="12" t="s">
        <v>5</v>
      </c>
    </row>
    <row r="46" spans="2:7">
      <c r="B46" s="4"/>
      <c r="C46" s="4" t="s">
        <v>68</v>
      </c>
      <c r="D46" s="4" t="s">
        <v>55</v>
      </c>
      <c r="E46" s="4"/>
      <c r="F46" s="4"/>
      <c r="G46" s="4"/>
    </row>
    <row r="47" spans="2:7">
      <c r="B47" s="12"/>
      <c r="C47" s="12" t="s">
        <v>59</v>
      </c>
      <c r="D47" s="12"/>
      <c r="E47" s="12">
        <v>4</v>
      </c>
      <c r="F47" s="12">
        <v>3</v>
      </c>
      <c r="G47" s="12" t="s">
        <v>9</v>
      </c>
    </row>
    <row r="48" spans="2:7">
      <c r="B48" s="12"/>
      <c r="C48" s="12" t="s">
        <v>26</v>
      </c>
      <c r="D48" s="12"/>
      <c r="E48" s="12">
        <v>2</v>
      </c>
      <c r="F48" s="12">
        <v>0.5</v>
      </c>
      <c r="G48" s="12" t="s">
        <v>9</v>
      </c>
    </row>
    <row r="49" spans="2:7">
      <c r="B49" s="16"/>
      <c r="C49" s="16" t="s">
        <v>69</v>
      </c>
      <c r="D49" s="16" t="s">
        <v>115</v>
      </c>
      <c r="E49" s="16"/>
      <c r="F49" s="16"/>
      <c r="G49" s="16"/>
    </row>
    <row r="50" spans="2:7">
      <c r="B50" s="12"/>
      <c r="C50" s="12" t="s">
        <v>59</v>
      </c>
      <c r="D50" s="12"/>
      <c r="E50" s="12">
        <v>4</v>
      </c>
      <c r="F50" s="12"/>
      <c r="G50" s="12" t="s">
        <v>5</v>
      </c>
    </row>
    <row r="51" spans="2:7">
      <c r="B51" s="12"/>
      <c r="C51" s="12" t="s">
        <v>26</v>
      </c>
      <c r="D51" s="12"/>
      <c r="E51" s="12">
        <v>2</v>
      </c>
      <c r="F51" s="12"/>
      <c r="G51" s="12" t="s">
        <v>5</v>
      </c>
    </row>
    <row r="52" spans="2:7">
      <c r="B52" s="16" t="s">
        <v>66</v>
      </c>
      <c r="C52" s="16" t="s">
        <v>73</v>
      </c>
      <c r="D52" s="16" t="s">
        <v>115</v>
      </c>
      <c r="E52" s="16"/>
      <c r="F52" s="16"/>
      <c r="G52" s="16"/>
    </row>
    <row r="53" spans="2:7">
      <c r="B53" s="12"/>
      <c r="C53" s="12" t="s">
        <v>26</v>
      </c>
      <c r="D53" s="12"/>
      <c r="E53" s="12">
        <v>2</v>
      </c>
      <c r="F53" s="12"/>
      <c r="G53" s="12" t="s">
        <v>5</v>
      </c>
    </row>
    <row r="54" spans="2:7">
      <c r="B54" s="12"/>
      <c r="C54" s="12" t="s">
        <v>71</v>
      </c>
      <c r="D54" s="12"/>
      <c r="E54" s="12">
        <v>5</v>
      </c>
      <c r="F54" s="12"/>
      <c r="G54" s="12" t="s">
        <v>5</v>
      </c>
    </row>
    <row r="55" spans="2:7">
      <c r="B55" s="12"/>
      <c r="C55" s="12" t="s">
        <v>70</v>
      </c>
      <c r="D55" s="12"/>
      <c r="E55" s="12">
        <v>5</v>
      </c>
      <c r="F55" s="12"/>
      <c r="G55" s="12" t="s">
        <v>5</v>
      </c>
    </row>
    <row r="56" spans="2:7">
      <c r="B56" s="12"/>
      <c r="C56" s="12" t="s">
        <v>72</v>
      </c>
      <c r="D56" s="12"/>
      <c r="E56" s="12">
        <v>5</v>
      </c>
      <c r="F56" s="12"/>
      <c r="G56" s="12" t="s">
        <v>5</v>
      </c>
    </row>
    <row r="57" spans="2:7">
      <c r="B57" s="12"/>
      <c r="C57" s="12" t="s">
        <v>61</v>
      </c>
      <c r="D57" s="12"/>
      <c r="E57" s="12">
        <v>2</v>
      </c>
      <c r="F57" s="12"/>
      <c r="G57" s="12" t="s">
        <v>5</v>
      </c>
    </row>
    <row r="58" spans="2:7">
      <c r="B58" s="12"/>
      <c r="C58" s="12" t="s">
        <v>67</v>
      </c>
      <c r="D58" s="12"/>
      <c r="E58" s="12">
        <v>1</v>
      </c>
      <c r="F58" s="12"/>
      <c r="G58" s="12" t="s">
        <v>5</v>
      </c>
    </row>
    <row r="59" spans="2:7">
      <c r="B59" s="16" t="s">
        <v>63</v>
      </c>
      <c r="C59" s="16" t="s">
        <v>74</v>
      </c>
      <c r="D59" s="16" t="s">
        <v>115</v>
      </c>
      <c r="E59" s="16"/>
      <c r="F59" s="16"/>
      <c r="G59" s="16"/>
    </row>
    <row r="60" spans="2:7">
      <c r="B60" s="12"/>
      <c r="C60" s="12" t="s">
        <v>26</v>
      </c>
      <c r="D60" s="12"/>
      <c r="E60" s="12">
        <v>4</v>
      </c>
      <c r="F60" s="12"/>
      <c r="G60" s="12" t="s">
        <v>5</v>
      </c>
    </row>
    <row r="61" spans="2:7">
      <c r="B61" s="12"/>
      <c r="C61" s="12" t="s">
        <v>71</v>
      </c>
      <c r="D61" s="12"/>
      <c r="E61" s="12">
        <v>4</v>
      </c>
      <c r="F61" s="12"/>
      <c r="G61" s="12" t="s">
        <v>5</v>
      </c>
    </row>
    <row r="62" spans="2:7">
      <c r="B62" s="12"/>
      <c r="C62" s="12" t="s">
        <v>70</v>
      </c>
      <c r="D62" s="12"/>
      <c r="E62" s="12">
        <v>4</v>
      </c>
      <c r="F62" s="12"/>
      <c r="G62" s="12" t="s">
        <v>5</v>
      </c>
    </row>
    <row r="63" spans="2:7">
      <c r="B63" s="12"/>
      <c r="C63" s="12" t="s">
        <v>72</v>
      </c>
      <c r="D63" s="12"/>
      <c r="E63" s="12">
        <v>4</v>
      </c>
      <c r="F63" s="12"/>
      <c r="G63" s="12" t="s">
        <v>5</v>
      </c>
    </row>
    <row r="64" spans="2:7">
      <c r="B64" s="12"/>
      <c r="C64" s="12" t="s">
        <v>61</v>
      </c>
      <c r="D64" s="12"/>
      <c r="E64" s="12">
        <v>1</v>
      </c>
      <c r="F64" s="12"/>
      <c r="G64" s="12" t="s">
        <v>5</v>
      </c>
    </row>
    <row r="65" spans="2:9">
      <c r="B65" s="12"/>
      <c r="C65" s="12" t="s">
        <v>67</v>
      </c>
      <c r="D65" s="12"/>
      <c r="E65" s="12">
        <v>1</v>
      </c>
      <c r="F65" s="12"/>
      <c r="G65" s="12" t="s">
        <v>5</v>
      </c>
    </row>
    <row r="66" spans="2:9">
      <c r="B66" s="16" t="s">
        <v>63</v>
      </c>
      <c r="C66" s="16" t="s">
        <v>75</v>
      </c>
      <c r="D66" s="16" t="s">
        <v>115</v>
      </c>
      <c r="E66" s="16"/>
      <c r="F66" s="16"/>
      <c r="G66" s="16"/>
    </row>
    <row r="67" spans="2:9">
      <c r="B67" s="12"/>
      <c r="C67" s="12" t="s">
        <v>26</v>
      </c>
      <c r="D67" s="12"/>
      <c r="E67" s="12">
        <v>4</v>
      </c>
      <c r="F67" s="12"/>
      <c r="G67" s="12" t="s">
        <v>5</v>
      </c>
    </row>
    <row r="68" spans="2:9">
      <c r="B68" s="12"/>
      <c r="C68" s="12" t="s">
        <v>71</v>
      </c>
      <c r="D68" s="12"/>
      <c r="E68" s="12">
        <v>4</v>
      </c>
      <c r="F68" s="12"/>
      <c r="G68" s="12" t="s">
        <v>5</v>
      </c>
    </row>
    <row r="69" spans="2:9">
      <c r="B69" s="12"/>
      <c r="C69" s="12" t="s">
        <v>70</v>
      </c>
      <c r="D69" s="12"/>
      <c r="E69" s="12">
        <v>4</v>
      </c>
      <c r="F69" s="12"/>
      <c r="G69" s="12" t="s">
        <v>5</v>
      </c>
    </row>
    <row r="70" spans="2:9">
      <c r="B70" s="12"/>
      <c r="C70" s="12" t="s">
        <v>72</v>
      </c>
      <c r="D70" s="12"/>
      <c r="E70" s="12">
        <v>4</v>
      </c>
      <c r="F70" s="12"/>
      <c r="G70" s="12" t="s">
        <v>5</v>
      </c>
      <c r="I70" s="1"/>
    </row>
    <row r="71" spans="2:9">
      <c r="B71" s="12"/>
      <c r="C71" s="12" t="s">
        <v>61</v>
      </c>
      <c r="D71" s="12"/>
      <c r="E71" s="12">
        <v>1</v>
      </c>
      <c r="F71" s="12"/>
      <c r="G71" s="12" t="s">
        <v>5</v>
      </c>
      <c r="I71" s="1"/>
    </row>
    <row r="72" spans="2:9">
      <c r="B72" s="12"/>
      <c r="C72" s="12" t="s">
        <v>67</v>
      </c>
      <c r="D72" s="12"/>
      <c r="E72" s="12">
        <v>1</v>
      </c>
      <c r="F72" s="12"/>
      <c r="G72" s="12" t="s">
        <v>5</v>
      </c>
      <c r="I72" s="1"/>
    </row>
    <row r="73" spans="2:9">
      <c r="B73" s="12"/>
      <c r="C73" s="12"/>
      <c r="D73" s="12"/>
      <c r="E73" s="12"/>
      <c r="F73" s="12"/>
      <c r="G73" s="12"/>
      <c r="I73" s="1"/>
    </row>
    <row r="74" spans="2:9">
      <c r="B74" s="12"/>
      <c r="C74" s="12" t="s">
        <v>53</v>
      </c>
      <c r="D74" s="12"/>
      <c r="E74" s="12"/>
      <c r="F74" s="12"/>
      <c r="G74" s="12"/>
    </row>
    <row r="75" spans="2:9">
      <c r="B75" s="4"/>
      <c r="C75" s="4" t="s">
        <v>79</v>
      </c>
      <c r="D75" s="4" t="s">
        <v>56</v>
      </c>
      <c r="E75" s="4">
        <v>12</v>
      </c>
      <c r="F75" s="4"/>
      <c r="G75" s="4" t="s">
        <v>9</v>
      </c>
    </row>
    <row r="76" spans="2:9">
      <c r="B76" s="12"/>
      <c r="C76" s="12" t="s">
        <v>80</v>
      </c>
      <c r="D76" s="12"/>
      <c r="E76" s="12"/>
      <c r="F76" s="12"/>
      <c r="G76" s="12" t="s">
        <v>9</v>
      </c>
    </row>
    <row r="77" spans="2:9">
      <c r="B77" s="12"/>
      <c r="C77" s="12" t="s">
        <v>81</v>
      </c>
      <c r="D77" s="12"/>
      <c r="E77" s="12"/>
      <c r="F77" s="12"/>
      <c r="G77" s="12" t="s">
        <v>9</v>
      </c>
    </row>
    <row r="78" spans="2:9">
      <c r="B78" s="12"/>
      <c r="C78" s="12" t="s">
        <v>82</v>
      </c>
      <c r="D78" s="12"/>
      <c r="E78" s="12"/>
      <c r="F78" s="12"/>
      <c r="G78" s="12" t="s">
        <v>9</v>
      </c>
    </row>
    <row r="79" spans="2:9">
      <c r="B79" s="12"/>
      <c r="C79" s="12" t="s">
        <v>83</v>
      </c>
      <c r="D79" s="12"/>
      <c r="E79" s="12"/>
      <c r="F79" s="12"/>
      <c r="G79" s="12" t="s">
        <v>9</v>
      </c>
    </row>
    <row r="80" spans="2:9">
      <c r="B80" s="16" t="s">
        <v>64</v>
      </c>
      <c r="C80" s="16" t="s">
        <v>92</v>
      </c>
      <c r="D80" s="16" t="s">
        <v>115</v>
      </c>
      <c r="E80" s="16"/>
      <c r="F80" s="16"/>
      <c r="G80" s="16" t="s">
        <v>5</v>
      </c>
    </row>
    <row r="81" spans="2:7">
      <c r="B81" s="12"/>
      <c r="C81" s="12" t="s">
        <v>93</v>
      </c>
      <c r="D81" s="12"/>
      <c r="E81" s="12">
        <v>10</v>
      </c>
      <c r="F81" s="12"/>
      <c r="G81" s="12" t="s">
        <v>5</v>
      </c>
    </row>
    <row r="82" spans="2:7">
      <c r="B82" s="12"/>
      <c r="C82" s="12" t="s">
        <v>94</v>
      </c>
      <c r="D82" s="12"/>
      <c r="E82" s="12">
        <v>10</v>
      </c>
      <c r="F82" s="12"/>
      <c r="G82" s="12" t="s">
        <v>5</v>
      </c>
    </row>
    <row r="83" spans="2:7">
      <c r="B83" s="12"/>
      <c r="C83" s="12" t="s">
        <v>95</v>
      </c>
      <c r="D83" s="12"/>
      <c r="E83" s="12">
        <v>20</v>
      </c>
      <c r="F83" s="12"/>
      <c r="G83" s="12" t="s">
        <v>5</v>
      </c>
    </row>
    <row r="84" spans="2:7">
      <c r="B84" s="12"/>
      <c r="C84" s="12" t="s">
        <v>84</v>
      </c>
      <c r="D84" s="12"/>
      <c r="E84" s="12"/>
      <c r="F84" s="12"/>
      <c r="G84" s="12"/>
    </row>
    <row r="85" spans="2:7">
      <c r="B85" s="12"/>
      <c r="C85" s="4" t="s">
        <v>89</v>
      </c>
      <c r="D85" s="4" t="s">
        <v>55</v>
      </c>
      <c r="E85" s="12"/>
      <c r="F85" s="12"/>
      <c r="G85" s="12" t="s">
        <v>9</v>
      </c>
    </row>
    <row r="86" spans="2:7">
      <c r="B86" s="12"/>
      <c r="C86" s="4" t="s">
        <v>90</v>
      </c>
      <c r="D86" s="4" t="s">
        <v>55</v>
      </c>
      <c r="E86" s="12"/>
      <c r="F86" s="12"/>
      <c r="G86" s="12" t="s">
        <v>9</v>
      </c>
    </row>
    <row r="87" spans="2:7">
      <c r="B87" s="12"/>
      <c r="C87" s="4" t="s">
        <v>91</v>
      </c>
      <c r="D87" s="4" t="s">
        <v>55</v>
      </c>
      <c r="E87" s="12"/>
      <c r="F87" s="12"/>
      <c r="G87" s="12" t="s">
        <v>9</v>
      </c>
    </row>
    <row r="88" spans="2:7">
      <c r="B88" s="12"/>
      <c r="C88" s="16" t="s">
        <v>85</v>
      </c>
      <c r="D88" s="16" t="s">
        <v>115</v>
      </c>
      <c r="E88" s="12">
        <v>2</v>
      </c>
      <c r="F88" s="12"/>
      <c r="G88" s="12" t="s">
        <v>9</v>
      </c>
    </row>
    <row r="89" spans="2:7">
      <c r="B89" s="12"/>
      <c r="C89" s="16" t="s">
        <v>86</v>
      </c>
      <c r="D89" s="16" t="s">
        <v>115</v>
      </c>
      <c r="E89" s="12">
        <v>5</v>
      </c>
      <c r="F89" s="12"/>
      <c r="G89" s="12" t="s">
        <v>9</v>
      </c>
    </row>
    <row r="90" spans="2:7">
      <c r="B90" s="12"/>
      <c r="C90" s="16" t="s">
        <v>87</v>
      </c>
      <c r="D90" s="16" t="s">
        <v>115</v>
      </c>
      <c r="E90" s="12">
        <v>2</v>
      </c>
      <c r="F90" s="12"/>
      <c r="G90" s="12" t="s">
        <v>5</v>
      </c>
    </row>
    <row r="91" spans="2:7">
      <c r="B91" s="12"/>
      <c r="C91" s="16" t="s">
        <v>88</v>
      </c>
      <c r="D91" s="16" t="s">
        <v>115</v>
      </c>
      <c r="E91" s="12">
        <v>2</v>
      </c>
      <c r="F91" s="12"/>
      <c r="G91" s="12" t="s">
        <v>9</v>
      </c>
    </row>
    <row r="92" spans="2:7">
      <c r="B92" s="12"/>
      <c r="C92" s="12"/>
      <c r="D92" s="12"/>
      <c r="E92" s="12"/>
      <c r="F92" s="12"/>
      <c r="G92" s="12"/>
    </row>
    <row r="93" spans="2:7">
      <c r="B93" s="16" t="s">
        <v>98</v>
      </c>
      <c r="C93" s="16" t="s">
        <v>97</v>
      </c>
      <c r="D93" s="16" t="s">
        <v>115</v>
      </c>
      <c r="E93" s="16"/>
      <c r="F93" s="16"/>
      <c r="G93" s="16"/>
    </row>
    <row r="94" spans="2:7">
      <c r="B94" s="12"/>
      <c r="C94" s="12" t="s">
        <v>99</v>
      </c>
      <c r="D94" s="12"/>
      <c r="E94" s="12">
        <v>8</v>
      </c>
      <c r="F94" s="12"/>
      <c r="G94" s="12" t="s">
        <v>5</v>
      </c>
    </row>
    <row r="95" spans="2:7">
      <c r="B95" s="12"/>
      <c r="C95" s="12" t="s">
        <v>100</v>
      </c>
      <c r="D95" s="12"/>
      <c r="E95" s="12">
        <v>8</v>
      </c>
      <c r="F95" s="12"/>
      <c r="G95" s="12" t="s">
        <v>5</v>
      </c>
    </row>
    <row r="96" spans="2:7">
      <c r="B96" s="12"/>
      <c r="C96" s="12"/>
      <c r="D96" s="12"/>
      <c r="E96" s="12"/>
      <c r="F96" s="12"/>
      <c r="G96" s="12"/>
    </row>
    <row r="97" spans="2:7">
      <c r="B97" s="4" t="s">
        <v>98</v>
      </c>
      <c r="C97" s="4" t="s">
        <v>106</v>
      </c>
      <c r="D97" s="4"/>
      <c r="E97" s="4"/>
      <c r="F97" s="4"/>
      <c r="G97" s="4"/>
    </row>
    <row r="98" spans="2:7">
      <c r="B98" s="12"/>
      <c r="C98" s="12" t="s">
        <v>18</v>
      </c>
      <c r="D98" s="12"/>
      <c r="E98" s="12"/>
      <c r="F98" s="12"/>
      <c r="G98" s="12" t="s">
        <v>9</v>
      </c>
    </row>
    <row r="99" spans="2:7">
      <c r="B99" s="12"/>
      <c r="C99" s="12"/>
      <c r="D99" s="12"/>
      <c r="E99" s="12"/>
      <c r="F99" s="12"/>
      <c r="G99" s="12"/>
    </row>
    <row r="100" spans="2:7">
      <c r="B100" s="4"/>
      <c r="C100" s="4" t="s">
        <v>96</v>
      </c>
      <c r="D100" s="4" t="s">
        <v>55</v>
      </c>
      <c r="E100" s="4">
        <v>34</v>
      </c>
      <c r="F100" s="4"/>
      <c r="G100" s="4"/>
    </row>
    <row r="101" spans="2:7">
      <c r="B101" s="12" t="s">
        <v>64</v>
      </c>
      <c r="C101" s="12" t="s">
        <v>101</v>
      </c>
      <c r="D101" s="12"/>
      <c r="E101" s="12"/>
      <c r="F101" s="12"/>
      <c r="G101" s="12" t="s">
        <v>9</v>
      </c>
    </row>
    <row r="102" spans="2:7">
      <c r="B102" s="12"/>
      <c r="C102" s="12" t="s">
        <v>102</v>
      </c>
      <c r="D102" s="12"/>
      <c r="E102" s="12"/>
      <c r="F102" s="12"/>
      <c r="G102" s="12" t="s">
        <v>9</v>
      </c>
    </row>
    <row r="103" spans="2:7">
      <c r="B103" s="12"/>
      <c r="C103" s="12" t="s">
        <v>103</v>
      </c>
      <c r="D103" s="12"/>
      <c r="E103" s="12"/>
      <c r="F103" s="12"/>
      <c r="G103" s="12" t="s">
        <v>9</v>
      </c>
    </row>
    <row r="104" spans="2:7">
      <c r="B104" s="12" t="s">
        <v>98</v>
      </c>
      <c r="C104" s="12" t="s">
        <v>104</v>
      </c>
      <c r="D104" s="12"/>
      <c r="E104" s="12"/>
      <c r="F104" s="12"/>
      <c r="G104" s="12" t="s">
        <v>9</v>
      </c>
    </row>
    <row r="105" spans="2:7">
      <c r="B105" s="12" t="s">
        <v>98</v>
      </c>
      <c r="C105" s="12" t="s">
        <v>105</v>
      </c>
      <c r="D105" s="12"/>
      <c r="E105" s="12"/>
      <c r="F105" s="12"/>
      <c r="G105" s="12" t="s">
        <v>9</v>
      </c>
    </row>
    <row r="106" spans="2:7">
      <c r="B106" s="12"/>
      <c r="C106" s="12"/>
      <c r="D106" s="12"/>
      <c r="E106" s="12"/>
      <c r="F106" s="12"/>
      <c r="G106" s="12"/>
    </row>
    <row r="107" spans="2:7">
      <c r="B107" s="16" t="s">
        <v>98</v>
      </c>
      <c r="C107" s="16" t="s">
        <v>107</v>
      </c>
      <c r="D107" s="16" t="s">
        <v>115</v>
      </c>
      <c r="E107" s="16"/>
      <c r="F107" s="16"/>
      <c r="G107" s="16"/>
    </row>
    <row r="108" spans="2:7">
      <c r="B108" s="12"/>
      <c r="C108" s="12" t="s">
        <v>108</v>
      </c>
      <c r="D108" s="12"/>
      <c r="E108" s="12">
        <v>6</v>
      </c>
      <c r="F108" s="12"/>
      <c r="G108" s="12" t="s">
        <v>5</v>
      </c>
    </row>
    <row r="109" spans="2:7">
      <c r="B109" s="12"/>
      <c r="C109" s="12" t="s">
        <v>109</v>
      </c>
      <c r="D109" s="12"/>
      <c r="E109" s="12">
        <v>2</v>
      </c>
      <c r="F109" s="12"/>
      <c r="G109" s="12" t="s">
        <v>5</v>
      </c>
    </row>
    <row r="110" spans="2:7">
      <c r="B110" s="12"/>
      <c r="C110" s="12" t="s">
        <v>110</v>
      </c>
      <c r="D110" s="12"/>
      <c r="E110" s="12">
        <v>2</v>
      </c>
      <c r="F110" s="12"/>
      <c r="G110" s="12" t="s">
        <v>5</v>
      </c>
    </row>
    <row r="111" spans="2:7">
      <c r="B111" s="12"/>
      <c r="C111" s="12" t="s">
        <v>111</v>
      </c>
      <c r="D111" s="12"/>
      <c r="E111" s="12">
        <v>6</v>
      </c>
      <c r="F111" s="12"/>
      <c r="G111" s="12" t="s">
        <v>5</v>
      </c>
    </row>
    <row r="112" spans="2:7">
      <c r="B112" s="12"/>
      <c r="C112" s="12" t="s">
        <v>112</v>
      </c>
      <c r="D112" s="12"/>
      <c r="E112" s="12">
        <v>2</v>
      </c>
      <c r="F112" s="12"/>
      <c r="G112" s="12" t="s">
        <v>5</v>
      </c>
    </row>
    <row r="113" spans="2:7">
      <c r="B113" s="12"/>
      <c r="C113" s="12" t="s">
        <v>113</v>
      </c>
      <c r="D113" s="12"/>
      <c r="E113" s="12">
        <v>6</v>
      </c>
      <c r="F113" s="12"/>
      <c r="G113" s="12" t="s">
        <v>5</v>
      </c>
    </row>
    <row r="114" spans="2:7">
      <c r="B114" s="12"/>
      <c r="C114" s="12" t="s">
        <v>112</v>
      </c>
      <c r="D114" s="12"/>
      <c r="E114" s="12">
        <v>2</v>
      </c>
      <c r="F114" s="12"/>
      <c r="G114" s="12" t="s">
        <v>5</v>
      </c>
    </row>
    <row r="115" spans="2:7">
      <c r="B115" s="12"/>
      <c r="C115" s="12"/>
      <c r="D115" s="12"/>
      <c r="E115" s="12"/>
      <c r="F115" s="12"/>
      <c r="G115" s="12"/>
    </row>
    <row r="116" spans="2:7">
      <c r="B116" s="12"/>
      <c r="C116" s="12"/>
      <c r="D116" s="12"/>
      <c r="E116" s="12"/>
      <c r="F116" s="12"/>
      <c r="G116" s="12"/>
    </row>
    <row r="117" spans="2:7">
      <c r="B117" s="12"/>
      <c r="C117" s="12"/>
      <c r="D117" s="12"/>
      <c r="E117" s="12"/>
      <c r="F117" s="12"/>
      <c r="G117" s="12"/>
    </row>
    <row r="118" spans="2:7">
      <c r="B118" s="12"/>
      <c r="C118" s="12"/>
      <c r="D118" s="12"/>
      <c r="E118" s="12"/>
      <c r="F118" s="12"/>
      <c r="G118" s="12"/>
    </row>
    <row r="119" spans="2:7">
      <c r="B119" s="12"/>
      <c r="C119" s="12"/>
      <c r="D119" s="12"/>
      <c r="E119" s="12"/>
      <c r="F119" s="12"/>
      <c r="G119" s="12"/>
    </row>
    <row r="120" spans="2:7">
      <c r="B120" s="12"/>
      <c r="C120" s="12"/>
      <c r="D120" s="12"/>
      <c r="E120" s="12"/>
      <c r="F120" s="12"/>
      <c r="G120" s="12"/>
    </row>
    <row r="121" spans="2:7">
      <c r="B121" s="12"/>
      <c r="C121" s="12"/>
      <c r="D121" s="12"/>
      <c r="E121" s="12"/>
      <c r="F121" s="12"/>
      <c r="G121" s="12"/>
    </row>
    <row r="122" spans="2:7">
      <c r="B122" s="12"/>
      <c r="C122" s="12"/>
      <c r="D122" s="12"/>
      <c r="E122" s="12"/>
      <c r="F122" s="12"/>
      <c r="G122" s="12"/>
    </row>
    <row r="123" spans="2:7">
      <c r="B123" s="12"/>
      <c r="C123" s="12"/>
      <c r="D123" s="12"/>
      <c r="E123" s="12"/>
      <c r="F123" s="12"/>
      <c r="G123" s="12"/>
    </row>
    <row r="124" spans="2:7">
      <c r="B124" s="12"/>
      <c r="C124" s="12"/>
      <c r="D124" s="12"/>
      <c r="E124" s="12"/>
      <c r="F124" s="12"/>
      <c r="G124" s="12"/>
    </row>
    <row r="125" spans="2:7">
      <c r="B125" s="12"/>
      <c r="C125" s="12"/>
      <c r="D125" s="12"/>
      <c r="E125" s="12"/>
      <c r="F125" s="12"/>
      <c r="G125" s="12"/>
    </row>
    <row r="126" spans="2:7">
      <c r="B126" s="12"/>
      <c r="C126" s="12"/>
      <c r="D126" s="12"/>
      <c r="E126" s="12"/>
      <c r="F126" s="12"/>
      <c r="G126" s="12"/>
    </row>
    <row r="127" spans="2:7">
      <c r="B127" s="12"/>
      <c r="C127" s="12"/>
      <c r="D127" s="12"/>
      <c r="E127" s="12"/>
      <c r="F127" s="12"/>
      <c r="G127" s="12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6D42E3690EEE418172DBF4B6395129" ma:contentTypeVersion="32" ma:contentTypeDescription="新しいドキュメントを作成します。" ma:contentTypeScope="" ma:versionID="2bec52062c397840dce5bfa38caf7040">
  <xsd:schema xmlns:xsd="http://www.w3.org/2001/XMLSchema" xmlns:xs="http://www.w3.org/2001/XMLSchema" xmlns:p="http://schemas.microsoft.com/office/2006/metadata/properties" xmlns:ns2="c7208212-5067-493a-8683-cc3386cb0efe" xmlns:ns3="b9cacb4e-8c24-4bf7-a627-1f291d6d2a9f" targetNamespace="http://schemas.microsoft.com/office/2006/metadata/properties" ma:root="true" ma:fieldsID="662986cd6941c04829d5352220b24469" ns2:_="" ns3:_="">
    <xsd:import namespace="c7208212-5067-493a-8683-cc3386cb0efe"/>
    <xsd:import namespace="b9cacb4e-8c24-4bf7-a627-1f291d6d2a9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08212-5067-493a-8683-cc3386cb0ef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acb4e-8c24-4bf7-a627-1f291d6d2a9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2c9f21eb-f969-4277-88ee-e20d93da4b04}" ma:internalName="TaxCatchAll" ma:showField="CatchAllData" ma:web="b9cacb4e-8c24-4bf7-a627-1f291d6d2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acb4e-8c24-4bf7-a627-1f291d6d2a9f" xsi:nil="true"/>
    <lcf76f155ced4ddcb4097134ff3c332f xmlns="c7208212-5067-493a-8683-cc3386cb0efe">
      <Terms xmlns="http://schemas.microsoft.com/office/infopath/2007/PartnerControls"/>
    </lcf76f155ced4ddcb4097134ff3c332f>
    <TeamsChannelId xmlns="c7208212-5067-493a-8683-cc3386cb0efe" xsi:nil="true"/>
    <Self_Registration_Enabled xmlns="c7208212-5067-493a-8683-cc3386cb0efe" xsi:nil="true"/>
    <Invited_Students xmlns="c7208212-5067-493a-8683-cc3386cb0efe" xsi:nil="true"/>
    <Math_Settings xmlns="c7208212-5067-493a-8683-cc3386cb0efe" xsi:nil="true"/>
    <FolderType xmlns="c7208212-5067-493a-8683-cc3386cb0efe" xsi:nil="true"/>
    <Owner xmlns="c7208212-5067-493a-8683-cc3386cb0efe">
      <UserInfo>
        <DisplayName/>
        <AccountId xsi:nil="true"/>
        <AccountType/>
      </UserInfo>
    </Owner>
    <Teachers xmlns="c7208212-5067-493a-8683-cc3386cb0efe">
      <UserInfo>
        <DisplayName/>
        <AccountId xsi:nil="true"/>
        <AccountType/>
      </UserInfo>
    </Teachers>
    <Students xmlns="c7208212-5067-493a-8683-cc3386cb0efe">
      <UserInfo>
        <DisplayName/>
        <AccountId xsi:nil="true"/>
        <AccountType/>
      </UserInfo>
    </Students>
    <Student_Groups xmlns="c7208212-5067-493a-8683-cc3386cb0efe">
      <UserInfo>
        <DisplayName/>
        <AccountId xsi:nil="true"/>
        <AccountType/>
      </UserInfo>
    </Student_Groups>
    <LMS_Mappings xmlns="c7208212-5067-493a-8683-cc3386cb0efe" xsi:nil="true"/>
    <IsNotebookLocked xmlns="c7208212-5067-493a-8683-cc3386cb0efe" xsi:nil="true"/>
    <NotebookType xmlns="c7208212-5067-493a-8683-cc3386cb0efe" xsi:nil="true"/>
    <CultureName xmlns="c7208212-5067-493a-8683-cc3386cb0efe" xsi:nil="true"/>
    <AppVersion xmlns="c7208212-5067-493a-8683-cc3386cb0efe" xsi:nil="true"/>
    <Invited_Teachers xmlns="c7208212-5067-493a-8683-cc3386cb0efe" xsi:nil="true"/>
    <DefaultSectionNames xmlns="c7208212-5067-493a-8683-cc3386cb0efe" xsi:nil="true"/>
    <Is_Collaboration_Space_Locked xmlns="c7208212-5067-493a-8683-cc3386cb0efe" xsi:nil="true"/>
    <Teams_Channel_Section_Location xmlns="c7208212-5067-493a-8683-cc3386cb0efe" xsi:nil="true"/>
    <Templates xmlns="c7208212-5067-493a-8683-cc3386cb0efe" xsi:nil="true"/>
    <Has_Teacher_Only_SectionGroup xmlns="c7208212-5067-493a-8683-cc3386cb0efe" xsi:nil="true"/>
    <Distribution_Groups xmlns="c7208212-5067-493a-8683-cc3386cb0efe" xsi:nil="true"/>
  </documentManagement>
</p:properties>
</file>

<file path=customXml/itemProps1.xml><?xml version="1.0" encoding="utf-8"?>
<ds:datastoreItem xmlns:ds="http://schemas.openxmlformats.org/officeDocument/2006/customXml" ds:itemID="{EAF2F9FC-3A71-42D2-842A-D0923E27A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208212-5067-493a-8683-cc3386cb0efe"/>
    <ds:schemaRef ds:uri="b9cacb4e-8c24-4bf7-a627-1f291d6d2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b9cacb4e-8c24-4bf7-a627-1f291d6d2a9f"/>
    <ds:schemaRef ds:uri="c7208212-5067-493a-8683-cc3386cb0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アルファ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平野　慎弥</cp:lastModifiedBy>
  <cp:revision/>
  <dcterms:created xsi:type="dcterms:W3CDTF">2015-06-05T18:19:34Z</dcterms:created>
  <dcterms:modified xsi:type="dcterms:W3CDTF">2026-06-05T06:28:33Z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0x010100916D42E3690EEE418172DBF4B6395129</vt:lpwstr>
  </property>
  <property fmtid="{D5CDD505-2E9C-101B-9397-08002B2CF9AE}" pid="3" name="MediaServiceImageTags">
    <vt:lpwstr/>
  </property>
</Properties>
</file>